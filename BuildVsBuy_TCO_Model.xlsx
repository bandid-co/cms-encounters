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CO Comparison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<sst xmlns="http://schemas.openxmlformats.org/spreadsheetml/2006/main" count="95" uniqueCount="85">
  <si>
    <t xml:space="preserve">Build vs. Buy — TCO Model  |  Assumptions &amp; Inputs</t>
  </si>
  <si>
    <t xml:space="preserve">Yellow cells are inputs — replace with real figures. Each input is also a question to ask.</t>
  </si>
  <si>
    <t xml:space="preserve">GLOBAL</t>
  </si>
  <si>
    <t xml:space="preserve">Value</t>
  </si>
  <si>
    <t xml:space="preserve">Question this input drives</t>
  </si>
  <si>
    <t xml:space="preserve">Analysis horizon (years)</t>
  </si>
  <si>
    <t xml:space="preserve">Over how many years should we compare? (TCO differences show over time)</t>
  </si>
  <si>
    <t xml:space="preserve">Annual discount rate (%)</t>
  </si>
  <si>
    <t xml:space="preserve">What rate should we use for present value? (cost of capital)</t>
  </si>
  <si>
    <t xml:space="preserve">Annual transaction / claim volume</t>
  </si>
  <si>
    <t xml:space="preserve">What volume are we processing today, and projected growth?</t>
  </si>
  <si>
    <t xml:space="preserve">BUILD (In-House)</t>
  </si>
  <si>
    <t xml:space="preserve">Upfront development cost (one-time)</t>
  </si>
  <si>
    <t xml:space="preserve">What will it cost to build? (dev hours x rate, or MSP/contractor cost)</t>
  </si>
  <si>
    <t xml:space="preserve">Implementation / integration (one-time)</t>
  </si>
  <si>
    <t xml:space="preserve">Integration, testing, migration effort to go live?</t>
  </si>
  <si>
    <t xml:space="preserve">Annual internal labor (run/maintain)</t>
  </si>
  <si>
    <t xml:space="preserve">FTEs to maintain &amp; support once live, fully loaded?</t>
  </si>
  <si>
    <t xml:space="preserve">Annual infrastructure / cloud</t>
  </si>
  <si>
    <t xml:space="preserve">Hosting, compute, storage, monitoring per year?</t>
  </si>
  <si>
    <t xml:space="preserve">Annual enhancements / change</t>
  </si>
  <si>
    <t xml:space="preserve">Ongoing dev to keep pace with mandates &amp; changes?</t>
  </si>
  <si>
    <t xml:space="preserve">Time to deploy (months)</t>
  </si>
  <si>
    <t xml:space="preserve">How long until it's in production? (delay = risk &amp; carry cost)</t>
  </si>
  <si>
    <t xml:space="preserve">BUY (Vendor / Edifecs)</t>
  </si>
  <si>
    <t xml:space="preserve">Annual license / subscription</t>
  </si>
  <si>
    <t xml:space="preserve">What's the annual license fee, and how does it escalate?</t>
  </si>
  <si>
    <t xml:space="preserve">Implementation / onboarding (one-time)</t>
  </si>
  <si>
    <t xml:space="preserve">One-time setup, config, and integration cost?</t>
  </si>
  <si>
    <t xml:space="preserve">Annual vendor support / maintenance</t>
  </si>
  <si>
    <t xml:space="preserve">Support/maintenance tier and cost per year?</t>
  </si>
  <si>
    <t xml:space="preserve">Per-transaction / volume fees (annual)</t>
  </si>
  <si>
    <t xml:space="preserve">Any per-transaction or volume-based charges?</t>
  </si>
  <si>
    <t xml:space="preserve">Annual internal labor (vendor mgmt)</t>
  </si>
  <si>
    <t xml:space="preserve">Internal effort to manage the vendor &amp; integration?</t>
  </si>
  <si>
    <t xml:space="preserve">How fast can the vendor get us live?</t>
  </si>
  <si>
    <t xml:space="preserve">Build vs. Buy — Year-by-Year TCO</t>
  </si>
  <si>
    <t xml:space="preserve">All figures pull from the Assumptions tab. Nominal dollars; PV summary below.</t>
  </si>
  <si>
    <t xml:space="preserve">Cost Category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</si>
  <si>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</si>
  <si>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</si>
  <si>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</si>
  <si>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</si>
  <si>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</si>
  <si>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Total</t>
  </si>
  <si>
    <t xml:space="preserve">  Annual build cost</t>
  </si>
  <si>
    <t xml:space="preserve">  Annual buy cost</t>
  </si>
  <si>
    <t xml:space="preserve">Cumulative BUILD</t>
  </si>
  <si>
    <t xml:space="preserve">Cumulative BUY</t>
  </si>
  <si>
    <t xml:space="preserve">Annual difference (Buy - Build)</t>
  </si>
  <si>
    <t xml:space="preserve">(positive = Build is cheaper that year)</t>
  </si>
  <si>
    <t xml:space="preserve">Build vs. Buy — Decision Summary</t>
  </si>
  <si>
    <t xml:space="preserve">Metric</t>
  </si>
  <si>
    <t xml:space="preserve">Result</t>
  </si>
  <si>
    <t xml:space="preserve">Notes</t>
  </si>
  <si>
    <t xml:space="preserve">Total 5-Yr Cost — BUILD</t>
  </si>
  <si>
    <t xml:space="preserve">Upfront-heavy; cost front-loaded in Year 1.</t>
  </si>
  <si>
    <t xml:space="preserve">Total 5-Yr Cost — BUY</t>
  </si>
  <si>
    <t xml:space="preserve">Smoother; recurring license each year.</t>
  </si>
  <si>
    <t xml:space="preserve">5-Yr Savings (Buy - Build)</t>
  </si>
  <si>
    <t xml:space="preserve">Positive = Build cheaper over horizon.</t>
  </si>
  <si>
    <t xml:space="preserve">Lower-TCO option</t>
  </si>
  <si>
    <t xml:space="preserve">Numeric winner only — weigh against qualitative factors below.</t>
  </si>
  <si>
    <t xml:space="preserve">Deploy speed advantage</t>
  </si>
  <si>
    <t xml:space="preserve">Time-to-deploy gap = risk, carry cost, opportunity cost.</t>
  </si>
  <si>
    <t xml:space="preserve">QUALITATIVE FACTORS (score 1-5 each)</t>
  </si>
  <si>
    <t xml:space="preserve">Build / Buy</t>
  </si>
  <si>
    <t xml:space="preserve">Question to ask</t>
  </si>
  <si>
    <t xml:space="preserve">Control &amp; customization</t>
  </si>
  <si>
    <t xml:space="preserve">Build</t>
  </si>
  <si>
    <t xml:space="preserve">How much do we need to tailor beyond what a vendor allows?</t>
  </si>
  <si>
    <t xml:space="preserve">Speed to value</t>
  </si>
  <si>
    <t xml:space="preserve">Buy</t>
  </si>
  <si>
    <t xml:space="preserve">How urgently do we need this live?</t>
  </si>
  <si>
    <t xml:space="preserve">Vendor lock-in risk</t>
  </si>
  <si>
    <t xml:space="preserve">How hard/costly to switch or exit the vendor later?</t>
  </si>
  <si>
    <t xml:space="preserve">Internal capability / bandwidth</t>
  </si>
  <si>
    <t xml:space="preserve">?</t>
  </si>
  <si>
    <t xml:space="preserve">Do we have the team to build AND sustain it?</t>
  </si>
  <si>
    <t xml:space="preserve">Compliance &amp; mandate agility</t>
  </si>
  <si>
    <t xml:space="preserve">Who adapts faster to CMS/state mandate changes?</t>
  </si>
  <si>
    <t xml:space="preserve">Strategic differentiation</t>
  </si>
  <si>
    <t xml:space="preserve">Is this core IP worth owning, or a commodity to rent?</t>
  </si>
  <si>
    <t xml:space="preserve">Recommendation:</t>
  </si>
  <si>
    <r>
      <rPr>
        <i val="true"/>
        <sz val="10"/>
        <color rgb="FF808080"/>
        <rFont val="Arial"/>
        <family val="0"/>
        <charset val="1"/>
      </rPr>
      <t xml:space="preserve">(Document the decision, the reasoning, and the reassessment trigger — e.g. 'build in-house first to standardize; revisit vendor analytics tooling once volume/</t>
    </r>
    <r>
      <rPr>
        <i val="true"/>
        <sz val="10"/>
        <color rgb="FF808080"/>
        <rFont val="Noto Sans CJK SC"/>
        <family val="2"/>
      </rPr>
      <t xml:space="preserve">《</t>
    </r>
    <r>
      <rPr>
        <i val="true"/>
        <sz val="10"/>
        <color rgb="FF808080"/>
        <rFont val="Arial"/>
        <family val="0"/>
        <charset val="1"/>
      </rPr>
      <t xml:space="preserve">needs</t>
    </r>
    <r>
      <rPr>
        <i val="true"/>
        <sz val="10"/>
        <color rgb="FF808080"/>
        <rFont val="Noto Sans CJK SC"/>
        <family val="2"/>
      </rPr>
      <t xml:space="preserve">》 </t>
    </r>
    <r>
      <rPr>
        <i val="true"/>
        <sz val="10"/>
        <color rgb="FF808080"/>
        <rFont val="Arial"/>
        <family val="0"/>
        <charset val="1"/>
      </rPr>
      <t xml:space="preserve">are proven.')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</si>
</sst>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80808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E7A82"/>
        <bgColor rgb="FF00808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82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3" t="s">
        <v>4</v>
      </c>
    </row>
    <row r="6" customFormat="false" ht="26.85" hidden="false" customHeight="false" outlineLevel="0" collapsed="false">
      <c r="B6" s="5" t="s">
        <v>5</v>
      </c>
      <c r="C6" s="6" t="n">
        <v>5</v>
      </c>
      <c r="D6" s="5" t="s">
        <v>6</v>
      </c>
    </row>
    <row r="7" customFormat="false" ht="26.85" hidden="false" customHeight="false" outlineLevel="0" collapsed="false">
      <c r="B7" s="5" t="s">
        <v>7</v>
      </c>
      <c r="C7" s="7" t="n">
        <v>0.08</v>
      </c>
      <c r="D7" s="5" t="s">
        <v>8</v>
      </c>
    </row>
    <row r="8" customFormat="false" ht="26.85" hidden="false" customHeight="false" outlineLevel="0" collapsed="false">
      <c r="B8" s="5" t="s">
        <v>9</v>
      </c>
      <c r="C8" s="6" t="n">
        <v>2000000</v>
      </c>
      <c r="D8" s="5" t="s">
        <v>10</v>
      </c>
    </row>
    <row r="10" customFormat="false" ht="15" hidden="false" customHeight="false" outlineLevel="0" collapsed="false">
      <c r="B10" s="8" t="s">
        <v>11</v>
      </c>
      <c r="C10" s="9" t="s">
        <v>3</v>
      </c>
      <c r="D10" s="8" t="s">
        <v>4</v>
      </c>
    </row>
    <row r="11" customFormat="false" ht="26.85" hidden="false" customHeight="false" outlineLevel="0" collapsed="false">
      <c r="B11" s="5" t="s">
        <v>12</v>
      </c>
      <c r="C11" s="6" t="n">
        <v>600000</v>
      </c>
      <c r="D11" s="5" t="s">
        <v>13</v>
      </c>
    </row>
    <row r="12" customFormat="false" ht="15" hidden="false" customHeight="false" outlineLevel="0" collapsed="false">
      <c r="B12" s="5" t="s">
        <v>14</v>
      </c>
      <c r="C12" s="6" t="n">
        <v>120000</v>
      </c>
      <c r="D12" s="5" t="s">
        <v>15</v>
      </c>
    </row>
    <row r="13" customFormat="false" ht="26.85" hidden="false" customHeight="false" outlineLevel="0" collapsed="false">
      <c r="B13" s="5" t="s">
        <v>16</v>
      </c>
      <c r="C13" s="6" t="n">
        <v>180000</v>
      </c>
      <c r="D13" s="5" t="s">
        <v>17</v>
      </c>
    </row>
    <row r="14" customFormat="false" ht="26.85" hidden="false" customHeight="false" outlineLevel="0" collapsed="false">
      <c r="B14" s="5" t="s">
        <v>18</v>
      </c>
      <c r="C14" s="6" t="n">
        <v>60000</v>
      </c>
      <c r="D14" s="5" t="s">
        <v>19</v>
      </c>
    </row>
    <row r="15" customFormat="false" ht="26.85" hidden="false" customHeight="false" outlineLevel="0" collapsed="false">
      <c r="B15" s="5" t="s">
        <v>20</v>
      </c>
      <c r="C15" s="6" t="n">
        <v>80000</v>
      </c>
      <c r="D15" s="5" t="s">
        <v>21</v>
      </c>
    </row>
    <row r="16" customFormat="false" ht="26.85" hidden="false" customHeight="false" outlineLevel="0" collapsed="false">
      <c r="B16" s="5" t="s">
        <v>22</v>
      </c>
      <c r="C16" s="6" t="n">
        <v>12</v>
      </c>
      <c r="D16" s="5" t="s">
        <v>23</v>
      </c>
    </row>
    <row r="18" customFormat="false" ht="15" hidden="false" customHeight="false" outlineLevel="0" collapsed="false">
      <c r="B18" s="8" t="s">
        <v>24</v>
      </c>
      <c r="C18" s="9" t="s">
        <v>3</v>
      </c>
      <c r="D18" s="8" t="s">
        <v>4</v>
      </c>
    </row>
    <row r="19" customFormat="false" ht="26.85" hidden="false" customHeight="false" outlineLevel="0" collapsed="false">
      <c r="B19" s="5" t="s">
        <v>25</v>
      </c>
      <c r="C19" s="6" t="n">
        <v>350000</v>
      </c>
      <c r="D19" s="5" t="s">
        <v>26</v>
      </c>
    </row>
    <row r="20" customFormat="false" ht="15" hidden="false" customHeight="false" outlineLevel="0" collapsed="false">
      <c r="B20" s="5" t="s">
        <v>27</v>
      </c>
      <c r="C20" s="6" t="n">
        <v>200000</v>
      </c>
      <c r="D20" s="5" t="s">
        <v>28</v>
      </c>
    </row>
    <row r="21" customFormat="false" ht="15" hidden="false" customHeight="false" outlineLevel="0" collapsed="false">
      <c r="B21" s="5" t="s">
        <v>29</v>
      </c>
      <c r="C21" s="6" t="n">
        <v>70000</v>
      </c>
      <c r="D21" s="5" t="s">
        <v>30</v>
      </c>
    </row>
    <row r="22" customFormat="false" ht="15" hidden="false" customHeight="false" outlineLevel="0" collapsed="false">
      <c r="B22" s="5" t="s">
        <v>31</v>
      </c>
      <c r="C22" s="6" t="n">
        <v>40000</v>
      </c>
      <c r="D22" s="5" t="s">
        <v>32</v>
      </c>
    </row>
    <row r="23" customFormat="false" ht="26.85" hidden="false" customHeight="false" outlineLevel="0" collapsed="false">
      <c r="B23" s="5" t="s">
        <v>33</v>
      </c>
      <c r="C23" s="6" t="n">
        <v>60000</v>
      </c>
      <c r="D23" s="5" t="s">
        <v>34</v>
      </c>
    </row>
    <row r="24" customFormat="false" ht="15" hidden="false" customHeight="false" outlineLevel="0" collapsed="false">
      <c r="B24" s="5" t="s">
        <v>22</v>
      </c>
      <c r="C24" s="6" t="n">
        <v>4</v>
      </c>
      <c r="D24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B5" s="3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</row>
    <row r="6" customFormat="false" ht="15" hidden="false" customHeight="false" outlineLevel="0" collapsed="false">
      <c r="B6" s="10" t="s">
        <v>11</v>
      </c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B7" s="5" t="s">
        <v>45</v>
      </c>
      <c r="C7" s="12" t="n">
        <f aca="false">Assumptions!C11+Assumptions!C12+Assumptions!C13+Assumptions!C14+Assumptions!C15</f>
        <v>1040000</v>
      </c>
      <c r="D7" s="12" t="n">
        <f aca="false">Assumptions!C13+Assumptions!C14+Assumptions!C15</f>
        <v>320000</v>
      </c>
      <c r="E7" s="12" t="n">
        <f aca="false">Assumptions!C13+Assumptions!C14+Assumptions!C15</f>
        <v>320000</v>
      </c>
      <c r="F7" s="12" t="n">
        <f aca="false">Assumptions!C13+Assumptions!C14+Assumptions!C15</f>
        <v>320000</v>
      </c>
      <c r="G7" s="12" t="n">
        <f aca="false">Assumptions!C13+Assumptions!C14+Assumptions!C15</f>
        <v>320000</v>
      </c>
      <c r="H7" s="13" t="n">
        <f aca="false">SUM(C7:G7)</f>
        <v>2320000</v>
      </c>
    </row>
    <row r="9" customFormat="false" ht="15" hidden="false" customHeight="false" outlineLevel="0" collapsed="false">
      <c r="B9" s="10" t="s">
        <v>24</v>
      </c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B10" s="5" t="s">
        <v>46</v>
      </c>
      <c r="C10" s="12" t="n">
        <f aca="false">Assumptions!C19+Assumptions!C20+Assumptions!C21+Assumptions!C22+Assumptions!C23</f>
        <v>720000</v>
      </c>
      <c r="D10" s="12" t="n">
        <f aca="false">Assumptions!C19+Assumptions!C21+Assumptions!C22+Assumptions!C23</f>
        <v>520000</v>
      </c>
      <c r="E10" s="12" t="n">
        <f aca="false">Assumptions!C19+Assumptions!C21+Assumptions!C22+Assumptions!C23</f>
        <v>520000</v>
      </c>
      <c r="F10" s="12" t="n">
        <f aca="false">Assumptions!C19+Assumptions!C21+Assumptions!C22+Assumptions!C23</f>
        <v>520000</v>
      </c>
      <c r="G10" s="12" t="n">
        <f aca="false">Assumptions!C19+Assumptions!C21+Assumptions!C22+Assumptions!C23</f>
        <v>520000</v>
      </c>
      <c r="H10" s="13" t="n">
        <f aca="false">SUM(C10:G10)</f>
        <v>2800000</v>
      </c>
    </row>
    <row r="12" customFormat="false" ht="15" hidden="false" customHeight="false" outlineLevel="0" collapsed="false">
      <c r="B12" s="14" t="s">
        <v>47</v>
      </c>
      <c r="C12" s="12" t="n">
        <f aca="false">C7</f>
        <v>1040000</v>
      </c>
      <c r="D12" s="12" t="n">
        <f aca="false">C12+D7</f>
        <v>1360000</v>
      </c>
      <c r="E12" s="12" t="n">
        <f aca="false">D12+E7</f>
        <v>1680000</v>
      </c>
      <c r="F12" s="12" t="n">
        <f aca="false">E12+F7</f>
        <v>2000000</v>
      </c>
      <c r="G12" s="12" t="n">
        <f aca="false">F12+G7</f>
        <v>2320000</v>
      </c>
    </row>
    <row r="13" customFormat="false" ht="15" hidden="false" customHeight="false" outlineLevel="0" collapsed="false">
      <c r="B13" s="14" t="s">
        <v>48</v>
      </c>
      <c r="C13" s="12" t="n">
        <f aca="false">C10</f>
        <v>720000</v>
      </c>
      <c r="D13" s="12" t="n">
        <f aca="false">C13+D10</f>
        <v>1240000</v>
      </c>
      <c r="E13" s="12" t="n">
        <f aca="false">D13+E10</f>
        <v>1760000</v>
      </c>
      <c r="F13" s="12" t="n">
        <f aca="false">E13+F10</f>
        <v>2280000</v>
      </c>
      <c r="G13" s="12" t="n">
        <f aca="false">F13+G10</f>
        <v>2800000</v>
      </c>
    </row>
    <row r="15" customFormat="false" ht="15" hidden="false" customHeight="false" outlineLevel="0" collapsed="false">
      <c r="B15" s="14" t="s">
        <v>49</v>
      </c>
      <c r="C15" s="12" t="n">
        <f aca="false">C10-C7</f>
        <v>-320000</v>
      </c>
      <c r="D15" s="12" t="n">
        <f aca="false">D10-D7</f>
        <v>200000</v>
      </c>
      <c r="E15" s="12" t="n">
        <f aca="false">E10-E7</f>
        <v>200000</v>
      </c>
      <c r="F15" s="12" t="n">
        <f aca="false">F10-F7</f>
        <v>200000</v>
      </c>
      <c r="G15" s="12" t="n">
        <f aca="false">G10-G7</f>
        <v>200000</v>
      </c>
      <c r="H15" s="13" t="n">
        <f aca="false">H10-H7</f>
        <v>480000</v>
      </c>
    </row>
    <row r="16" customFormat="false" ht="15" hidden="false" customHeight="false" outlineLevel="0" collapsed="false">
      <c r="B16" s="1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1" t="s">
        <v>51</v>
      </c>
    </row>
    <row r="4" customFormat="false" ht="15" hidden="false" customHeight="false" outlineLevel="0" collapsed="false">
      <c r="B4" s="3" t="s">
        <v>52</v>
      </c>
      <c r="C4" s="4" t="s">
        <v>53</v>
      </c>
      <c r="D4" s="3" t="s">
        <v>54</v>
      </c>
    </row>
    <row r="5" customFormat="false" ht="15" hidden="false" customHeight="false" outlineLevel="0" collapsed="false">
      <c r="B5" s="16" t="s">
        <v>55</v>
      </c>
      <c r="C5" s="13" t="n">
        <f aca="false">'TCO Comparison'!H7</f>
        <v>2320000</v>
      </c>
      <c r="D5" s="5" t="s">
        <v>56</v>
      </c>
    </row>
    <row r="6" customFormat="false" ht="15" hidden="false" customHeight="false" outlineLevel="0" collapsed="false">
      <c r="B6" s="16" t="s">
        <v>57</v>
      </c>
      <c r="C6" s="13" t="n">
        <f aca="false">'TCO Comparison'!H10</f>
        <v>2800000</v>
      </c>
      <c r="D6" s="5" t="s">
        <v>58</v>
      </c>
    </row>
    <row r="7" customFormat="false" ht="15" hidden="false" customHeight="false" outlineLevel="0" collapsed="false">
      <c r="B7" s="10" t="s">
        <v>59</v>
      </c>
      <c r="C7" s="17" t="n">
        <f aca="false">C6-C5</f>
        <v>480000</v>
      </c>
      <c r="D7" s="18" t="s">
        <v>60</v>
      </c>
    </row>
    <row r="8" customFormat="false" ht="26.85" hidden="false" customHeight="false" outlineLevel="0" collapsed="false">
      <c r="B8" s="14" t="s">
        <v>61</v>
      </c>
      <c r="C8" s="19" t="str">
        <f aca="false">IF(C5&lt;C6,"BUILD","BUY")</f>
        <v>BUILD</v>
      </c>
      <c r="D8" s="5" t="s">
        <v>62</v>
      </c>
    </row>
    <row r="9" customFormat="false" ht="26.85" hidden="false" customHeight="false" outlineLevel="0" collapsed="false">
      <c r="B9" s="16" t="s">
        <v>63</v>
      </c>
      <c r="C9" s="20" t="str">
        <f aca="false">IF(Assumptions!C16&gt;Assumptions!C24,"BUY faster","BUILD faster")</f>
        <v>BUY faster</v>
      </c>
      <c r="D9" s="5" t="s">
        <v>64</v>
      </c>
    </row>
    <row r="11" customFormat="false" ht="26.85" hidden="false" customHeight="false" outlineLevel="0" collapsed="false">
      <c r="B11" s="8" t="s">
        <v>65</v>
      </c>
      <c r="C11" s="9" t="s">
        <v>66</v>
      </c>
      <c r="D11" s="8" t="s">
        <v>67</v>
      </c>
    </row>
    <row r="12" customFormat="false" ht="26.85" hidden="false" customHeight="false" outlineLevel="0" collapsed="false">
      <c r="B12" s="5" t="s">
        <v>68</v>
      </c>
      <c r="C12" s="21" t="s">
        <v>69</v>
      </c>
      <c r="D12" s="5" t="s">
        <v>70</v>
      </c>
    </row>
    <row r="13" customFormat="false" ht="15" hidden="false" customHeight="false" outlineLevel="0" collapsed="false">
      <c r="B13" s="5" t="s">
        <v>71</v>
      </c>
      <c r="C13" s="21" t="s">
        <v>72</v>
      </c>
      <c r="D13" s="5" t="s">
        <v>73</v>
      </c>
    </row>
    <row r="14" customFormat="false" ht="26.85" hidden="false" customHeight="false" outlineLevel="0" collapsed="false">
      <c r="B14" s="5" t="s">
        <v>74</v>
      </c>
      <c r="C14" s="21" t="s">
        <v>69</v>
      </c>
      <c r="D14" s="5" t="s">
        <v>75</v>
      </c>
    </row>
    <row r="15" customFormat="false" ht="15" hidden="false" customHeight="false" outlineLevel="0" collapsed="false">
      <c r="B15" s="5" t="s">
        <v>76</v>
      </c>
      <c r="C15" s="21" t="s">
        <v>77</v>
      </c>
      <c r="D15" s="5" t="s">
        <v>78</v>
      </c>
    </row>
    <row r="16" customFormat="false" ht="26.85" hidden="false" customHeight="false" outlineLevel="0" collapsed="false">
      <c r="B16" s="5" t="s">
        <v>79</v>
      </c>
      <c r="C16" s="21" t="s">
        <v>77</v>
      </c>
      <c r="D16" s="5" t="s">
        <v>80</v>
      </c>
    </row>
    <row r="17" customFormat="false" ht="26.85" hidden="false" customHeight="false" outlineLevel="0" collapsed="false">
      <c r="B17" s="5" t="s">
        <v>81</v>
      </c>
      <c r="C17" s="21" t="s">
        <v>77</v>
      </c>
      <c r="D17" s="5" t="s">
        <v>82</v>
      </c>
    </row>
    <row r="19" customFormat="false" ht="15" hidden="false" customHeight="false" outlineLevel="0" collapsed="false">
      <c r="B19" s="22" t="s">
        <v>83</v>
      </c>
    </row>
    <row r="20" customFormat="false" ht="26.85" hidden="false" customHeight="true" outlineLevel="0" collapsed="false">
      <c r="B20" s="23" t="s">
        <v>84</v>
      </c>
      <c r="C20" s="23"/>
      <c r="D20" s="23"/>
    </row>
  </sheetData>
  <mergeCells count="1"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2026-09-30T19:10:15Z</dcterms:created>
  <dc:creator>openpyxl</dc:creator>
  <dc:description/>
  <dc:language>en-US</dc:language>
  <cp:lastModifiedBy/>
  <dcterms:modified xsi:type="dcterms:W3CDTF">2026-09-30T19:10:15Z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